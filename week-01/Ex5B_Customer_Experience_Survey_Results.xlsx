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1\"/>
    </mc:Choice>
  </mc:AlternateContent>
  <xr:revisionPtr revIDLastSave="0" documentId="8_{0ABCB58A-0A7B-4307-AC12-6EBE2860C6C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2" r:id="rId1"/>
    <sheet name="Survey Data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K10" i="1"/>
  <c r="G10" i="1"/>
  <c r="D10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<sst xmlns="http://schemas.openxmlformats.org/spreadsheetml/2006/main" count="93" uniqueCount="65">
  <si>
    <t>Id</t>
  </si>
  <si>
    <t>Start time</t>
  </si>
  <si>
    <t>Completion time</t>
  </si>
  <si>
    <t>Email</t>
  </si>
  <si>
    <t>Name</t>
  </si>
  <si>
    <t>How would you rate your most recent experience at Roppongi? </t>
  </si>
  <si>
    <t>How can we improve your experience? </t>
  </si>
  <si>
    <t>Would you recommend us to any of your friends and family? </t>
  </si>
  <si>
    <t>Please explain, why you chose the response above. </t>
  </si>
  <si>
    <t>How likely are you to return to Roppongi? </t>
  </si>
  <si>
    <t>What is your favorite dish at Roppongi ? </t>
  </si>
  <si>
    <t>Would you be interested in a loyalty rewards program ?</t>
  </si>
  <si>
    <t>What types of rewards would you prefer? Choose all that apply : </t>
  </si>
  <si>
    <t>(Optional) Enter your email if you'd like to receive rewards or updates :</t>
  </si>
  <si>
    <t>anonymous</t>
  </si>
  <si>
    <t>Richer flavors</t>
  </si>
  <si>
    <t>Yes</t>
  </si>
  <si>
    <t>Definitely has potential to be greater</t>
  </si>
  <si>
    <t>Somewhat likely</t>
  </si>
  <si>
    <t>The udon dish</t>
  </si>
  <si>
    <t>No</t>
  </si>
  <si>
    <t>Discount on Meals;</t>
  </si>
  <si>
    <t>more cushioned seating</t>
  </si>
  <si>
    <t>I always have a great experience at your restaurant!</t>
  </si>
  <si>
    <t>Very likely</t>
  </si>
  <si>
    <t>green eggs and ham ramen</t>
  </si>
  <si>
    <t>Point System ;</t>
  </si>
  <si>
    <t>bhambleton@yearup.org</t>
  </si>
  <si>
    <t>not going back</t>
  </si>
  <si>
    <t>too loud</t>
  </si>
  <si>
    <t>Very unlikely</t>
  </si>
  <si>
    <t>water</t>
  </si>
  <si>
    <t>asdf@gmail.com</t>
  </si>
  <si>
    <t>Better customer service</t>
  </si>
  <si>
    <t xml:space="preserve">The food is great and overall, the experience was good. </t>
  </si>
  <si>
    <t>Spaghetti</t>
  </si>
  <si>
    <t>Free items ( Ex: Free meal after X visits) ;Discount on Meals;</t>
  </si>
  <si>
    <t>tzeragaw@outlook.com</t>
  </si>
  <si>
    <t>Great food great service</t>
  </si>
  <si>
    <t>Ramen</t>
  </si>
  <si>
    <t>Free items ( Ex: Free meal after X visits) ;</t>
  </si>
  <si>
    <t>I wish I can order via delivery.</t>
  </si>
  <si>
    <t>The ramen is always fresh and the food comes out very fast.</t>
  </si>
  <si>
    <t>Jerk chicken ramen.</t>
  </si>
  <si>
    <t>Discount on Meals;Point System ;</t>
  </si>
  <si>
    <t xml:space="preserve">Nothing at all at the moment </t>
  </si>
  <si>
    <t xml:space="preserve">I love the ramen choices and the taste of it as well! </t>
  </si>
  <si>
    <t xml:space="preserve">Spicy Miso Ramen </t>
  </si>
  <si>
    <t>Free items ( Ex: Free meal after X visits) ;Discount on Meals;Point System ;</t>
  </si>
  <si>
    <t>okay</t>
  </si>
  <si>
    <t>good  enough service</t>
  </si>
  <si>
    <t>tonkastu ramen</t>
  </si>
  <si>
    <t>Time to complete</t>
  </si>
  <si>
    <t xml:space="preserve">Average: </t>
  </si>
  <si>
    <t>Sum of How would you rate your most recent experience at Roppongi? </t>
  </si>
  <si>
    <t>Row Labels</t>
  </si>
  <si>
    <t>Grand Total</t>
  </si>
  <si>
    <t>Count of Name</t>
  </si>
  <si>
    <t>(All)</t>
  </si>
  <si>
    <t>11 AM</t>
  </si>
  <si>
    <t>1 PM</t>
  </si>
  <si>
    <t>2 PM</t>
  </si>
  <si>
    <t>9 PM</t>
  </si>
  <si>
    <t>Days (Start time)</t>
  </si>
  <si>
    <t xml:space="preserve">Unable to make other charts due to questions asked.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</si>
</sst>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5" fontId="0" fillId="0" borderId="0" xfId="0" applyNumberFormat="1"/>
    <xf numFmtId="49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[Ex5B_Customer_Experience_Survey_Results.xlsx]Sheet1!PivotTable1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How would you rate your most recent experience at Roppongi? </c:v>
                </c:pt>
              </c:strCache>
            </c:strRef>
          </c:tx>
          <c:spPr>
            <a:ln w="317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11 AM</c:v>
                </c:pt>
                <c:pt idx="1">
                  <c:v>1 PM</c:v>
                </c:pt>
                <c:pt idx="2">
                  <c:v>2 PM</c:v>
                </c:pt>
                <c:pt idx="3">
                  <c:v>9 PM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4-4E69-9E9A-BEDA5566D76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Name</c:v>
                </c:pt>
              </c:strCache>
            </c:strRef>
          </c:tx>
          <c:spPr>
            <a:ln w="317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11 AM</c:v>
                </c:pt>
                <c:pt idx="1">
                  <c:v>1 PM</c:v>
                </c:pt>
                <c:pt idx="2">
                  <c:v>2 PM</c:v>
                </c:pt>
                <c:pt idx="3">
                  <c:v>9 PM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4-4E69-9E9A-BEDA5566D7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7448175"/>
        <c:axId val="1607440975"/>
      </c:lineChart>
      <c:catAx>
        <c:axId val="16074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440975"/>
        <c:crosses val="autoZero"/>
        <c:auto val="1"/>
        <c:lblAlgn val="ctr"/>
        <c:lblOffset val="100"/>
        <c:noMultiLvlLbl val="0"/>
      </c:catAx>
      <c:valAx>
        <c:axId val="16074409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74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2</xdr:row>
      <xdr:rowOff>22860</xdr:rowOff>
    </xdr:from>
    <xdr:to>
      <xdr:col>10</xdr:col>
      <xdr:colOff>320040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864BE-0A6B-CF6F-6B14-AFB4F8632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ya melgara" refreshedDate="46124.965760300925" createdVersion="8" refreshedVersion="8" minRefreshableVersion="3" recordCount="8" xr:uid="{5B905288-7EAD-4F45-A34E-1763CE8735C8}">
  <cacheSource type="worksheet">
    <worksheetSource name="OfficeForms.Table"/>
  </cacheSource>
  <cacheFields count="19">
    <cacheField name="I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tart time" numFmtId="164">
      <sharedItems containsSemiMixedTypes="0" containsNonDate="0" containsDate="1" containsString="0" minDate="2026-04-08T13:00:08" maxDate="2026-04-09T11:47:17" count="8">
        <d v="2026-04-08T13:00:08"/>
        <d v="2026-04-08T13:35:41"/>
        <d v="2026-04-08T14:41:32"/>
        <d v="2026-04-08T14:51:47"/>
        <d v="2026-04-08T21:52:01"/>
        <d v="2026-04-09T11:33:04"/>
        <d v="2026-04-09T11:35:55"/>
        <d v="2026-04-09T11:47:17"/>
      </sharedItems>
      <fieldGroup par="18"/>
    </cacheField>
    <cacheField name="Completion time" numFmtId="164">
      <sharedItems containsSemiMixedTypes="0" containsNonDate="0" containsDate="1" containsString="0" minDate="2026-04-08T13:02:07" maxDate="2026-04-09T11:49:56"/>
    </cacheField>
    <cacheField name="Time to complete" numFmtId="45">
      <sharedItems containsSemiMixedTypes="0" containsNonDate="0" containsDate="1" containsString="0" minDate="1899-12-30T00:00:36" maxDate="1899-12-30T00:05:23"/>
    </cacheField>
    <cacheField name="Email" numFmtId="0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How would you rate your most recent experience at Roppongi? " numFmtId="0">
      <sharedItems containsSemiMixedTypes="0" containsString="0" containsNumber="1" containsInteger="1" minValue="1" maxValue="5"/>
    </cacheField>
    <cacheField name="How can we improve your experience? " numFmtId="0">
      <sharedItems containsBlank="1"/>
    </cacheField>
    <cacheField name="Would you recommend us to any of your friends and family? " numFmtId="0">
      <sharedItems/>
    </cacheField>
    <cacheField name="Please explain, why you chose the response above. " numFmtId="0">
      <sharedItems/>
    </cacheField>
    <cacheField name="How likely are you to return to Roppongi? " numFmtId="0">
      <sharedItems count="3">
        <s v="Somewhat likely"/>
        <s v="Very likely"/>
        <s v="Very unlikely"/>
      </sharedItems>
    </cacheField>
    <cacheField name="What is your favorite dish at Roppongi ? " numFmtId="0">
      <sharedItems count="8">
        <s v="The udon dish"/>
        <s v="green eggs and ham ramen"/>
        <s v="water"/>
        <s v="Spaghetti"/>
        <s v="Ramen"/>
        <s v="Jerk chicken ramen."/>
        <s v="Spicy Miso Ramen "/>
        <s v="tonkastu ramen"/>
      </sharedItems>
    </cacheField>
    <cacheField name="Would you be interested in a loyalty rewards program ?" numFmtId="0">
      <sharedItems count="2">
        <s v="No"/>
        <s v="Yes"/>
      </sharedItems>
    </cacheField>
    <cacheField name="What types of rewards would you prefer? Choose all that apply : " numFmtId="0">
      <sharedItems count="6">
        <s v="Discount on Meals;"/>
        <s v="Point System ;"/>
        <s v="Free items ( Ex: Free meal after X visits) ;Discount on Meals;"/>
        <s v="Free items ( Ex: Free meal after X visits) ;"/>
        <s v="Discount on Meals;Point System ;"/>
        <s v="Free items ( Ex: Free meal after X visits) ;Discount on Meals;Point System ;"/>
      </sharedItems>
    </cacheField>
    <cacheField name="(Optional) Enter your email if you'd like to receive rewards or updates :" numFmtId="0">
      <sharedItems containsBlank="1"/>
    </cacheField>
    <cacheField name="Seconds (Start time)" numFmtId="0" databaseField="0">
      <fieldGroup base="1">
        <rangePr groupBy="seconds" startDate="2026-04-08T13:00:08" endDate="2026-04-09T11:47:17"/>
        <groupItems count="62">
          <s v="&lt;4/8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9/2026"/>
        </groupItems>
      </fieldGroup>
    </cacheField>
    <cacheField name="Minutes (Start time)" numFmtId="0" databaseField="0">
      <fieldGroup base="1">
        <rangePr groupBy="minutes" startDate="2026-04-08T13:00:08" endDate="2026-04-09T11:47:17"/>
        <groupItems count="62">
          <s v="&lt;4/8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9/2026"/>
        </groupItems>
      </fieldGroup>
    </cacheField>
    <cacheField name="Hours (Start time)" numFmtId="0" databaseField="0">
      <fieldGroup base="1">
        <rangePr groupBy="hours" startDate="2026-04-08T13:00:08" endDate="2026-04-09T11:47:17"/>
        <groupItems count="26">
          <s v="&lt;4/8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9/2026"/>
        </groupItems>
      </fieldGroup>
    </cacheField>
    <cacheField name="Days (Start time)" numFmtId="0" databaseField="0">
      <fieldGroup base="1">
        <rangePr groupBy="days" startDate="2026-04-08T13:00:08" endDate="2026-04-09T11:47:17"/>
        <groupItems count="368">
          <s v="&lt;4/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d v="2026-04-08T13:02:07"/>
    <d v="1899-12-30T00:01:59"/>
    <x v="0"/>
    <x v="0"/>
    <n v="4"/>
    <s v="Richer flavors"/>
    <s v="Yes"/>
    <s v="Definitely has potential to be greater"/>
    <x v="0"/>
    <x v="0"/>
    <x v="0"/>
    <x v="0"/>
    <m/>
  </r>
  <r>
    <x v="1"/>
    <x v="1"/>
    <d v="2026-04-08T13:37:31"/>
    <d v="1899-12-30T00:01:50"/>
    <x v="0"/>
    <x v="0"/>
    <n v="5"/>
    <s v="more cushioned seating"/>
    <s v="Yes"/>
    <s v="I always have a great experience at your restaurant!"/>
    <x v="1"/>
    <x v="1"/>
    <x v="1"/>
    <x v="1"/>
    <s v="bhambleton@yearup.org"/>
  </r>
  <r>
    <x v="2"/>
    <x v="2"/>
    <d v="2026-04-08T14:42:13"/>
    <d v="1899-12-30T00:00:41"/>
    <x v="0"/>
    <x v="0"/>
    <n v="1"/>
    <s v="not going back"/>
    <s v="No"/>
    <s v="too loud"/>
    <x v="2"/>
    <x v="2"/>
    <x v="0"/>
    <x v="1"/>
    <s v="asdf@gmail.com"/>
  </r>
  <r>
    <x v="3"/>
    <x v="3"/>
    <d v="2026-04-08T14:57:10"/>
    <d v="1899-12-30T00:05:23"/>
    <x v="0"/>
    <x v="0"/>
    <n v="4"/>
    <s v="Better customer service"/>
    <s v="Yes"/>
    <s v="The food is great and overall, the experience was good. "/>
    <x v="1"/>
    <x v="3"/>
    <x v="1"/>
    <x v="2"/>
    <s v="tzeragaw@outlook.com"/>
  </r>
  <r>
    <x v="4"/>
    <x v="4"/>
    <d v="2026-04-08T21:52:37"/>
    <d v="1899-12-30T00:00:36"/>
    <x v="0"/>
    <x v="0"/>
    <n v="5"/>
    <m/>
    <s v="Yes"/>
    <s v="Great food great service"/>
    <x v="1"/>
    <x v="4"/>
    <x v="1"/>
    <x v="3"/>
    <m/>
  </r>
  <r>
    <x v="5"/>
    <x v="5"/>
    <d v="2026-04-09T11:37:23"/>
    <d v="1899-12-30T00:04:19"/>
    <x v="0"/>
    <x v="0"/>
    <n v="5"/>
    <s v="I wish I can order via delivery."/>
    <s v="Yes"/>
    <s v="The ramen is always fresh and the food comes out very fast."/>
    <x v="1"/>
    <x v="5"/>
    <x v="1"/>
    <x v="4"/>
    <m/>
  </r>
  <r>
    <x v="6"/>
    <x v="6"/>
    <d v="2026-04-09T11:37:44"/>
    <d v="1899-12-30T00:01:49"/>
    <x v="0"/>
    <x v="0"/>
    <n v="5"/>
    <s v="Nothing at all at the moment "/>
    <s v="Yes"/>
    <s v="I love the ramen choices and the taste of it as well! "/>
    <x v="1"/>
    <x v="6"/>
    <x v="1"/>
    <x v="5"/>
    <m/>
  </r>
  <r>
    <x v="7"/>
    <x v="7"/>
    <d v="2026-04-09T11:49:56"/>
    <d v="1899-12-30T00:02:39"/>
    <x v="0"/>
    <x v="0"/>
    <n v="3"/>
    <s v="okay"/>
    <s v="Yes"/>
    <s v="good  enough service"/>
    <x v="0"/>
    <x v="7"/>
    <x v="1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7D095-7642-468A-B138-A576C0EE30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8" firstHeaderRow="0" firstDataRow="1" firstDataCol="1" rowPageCount="1" colPageCount="1"/>
  <pivotFields count="19">
    <pivotField showAll="0"/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45" showAll="0"/>
    <pivotField showAll="0"/>
    <pivotField dataField="1"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Page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7"/>
  </rowFields>
  <rowItems count="5">
    <i>
      <x v="12"/>
    </i>
    <i>
      <x v="14"/>
    </i>
    <i>
      <x v="15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Sum of How would you rate your most recent experience at Roppongi? " fld="6" baseField="0" baseItem="0"/>
    <dataField name="Count of Name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0" totalsRowCount="1">
  <autoFilter ref="A1:O9" xr:uid="{00000000-0009-0000-0100-000001000000}"/>
  <tableColumns count="15">
    <tableColumn id="1" xr3:uid="{00000000-0010-0000-0000-000001000000}" name="Id" totalsRowLabel="Average: " dataDxfId="28" totalsRow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6" totalsRowDxfId="2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4" totalsRowDxfId="23">
      <extLst>
        <ext xmlns:xlmsforms="http://schemas.microsoft.com/office/spreadsheetml/2023/msForms" uri="{FCC71383-01E1-4257-9335-427F07BE8D7F}">
          <xlmsforms:question id="submitDate"/>
        </ext>
      </extLst>
    </tableColumn>
    <tableColumn id="15" xr3:uid="{D617C5DA-B054-4223-9A54-5329B89A9C8B}" name="Time to complete" totalsRowFunction="custom" dataDxfId="22" totalsRowDxfId="21">
      <calculatedColumnFormula>C2-B2</calculatedColumnFormula>
      <totalsRowFormula>AVERAGE(D2:D9)</totalsRowFormula>
    </tableColumn>
    <tableColumn id="4" xr3:uid="{00000000-0010-0000-0000-000004000000}" name="Email" dataDxfId="20" totalsRow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 totalsRow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most recent experience at Roppongi? " totalsRowFunction="custom" dataDxfId="16" totalsRowDxfId="15">
      <totalsRowFormula>AVERAGE(G2:G9)</totalsRowFormula>
      <extLst>
        <ext xmlns:xlmsforms="http://schemas.microsoft.com/office/spreadsheetml/2023/msForms" uri="{FCC71383-01E1-4257-9335-427F07BE8D7F}">
          <xlmsforms:question id="rcc2ff97cb60f4bfaad17f580d1bb4951"/>
        </ext>
      </extLst>
    </tableColumn>
    <tableColumn id="7" xr3:uid="{00000000-0010-0000-0000-000007000000}" name="How can we improve your experience? " dataDxfId="14" totalsRowDxfId="13">
      <extLst>
        <ext xmlns:xlmsforms="http://schemas.microsoft.com/office/spreadsheetml/2023/msForms" uri="{FCC71383-01E1-4257-9335-427F07BE8D7F}">
          <xlmsforms:question id="r7c2e22be6e2f43faa6ee3e5048a126ac"/>
        </ext>
      </extLst>
    </tableColumn>
    <tableColumn id="8" xr3:uid="{00000000-0010-0000-0000-000008000000}" name="Would you recommend us to any of your friends and family? " dataDxfId="12" totalsRowDxfId="11">
      <extLst>
        <ext xmlns:xlmsforms="http://schemas.microsoft.com/office/spreadsheetml/2023/msForms" uri="{FCC71383-01E1-4257-9335-427F07BE8D7F}">
          <xlmsforms:question id="rb2ce13ba80e746fba45410a924b639a7"/>
        </ext>
      </extLst>
    </tableColumn>
    <tableColumn id="9" xr3:uid="{00000000-0010-0000-0000-000009000000}" name="Please explain, why you chose the response above. " dataDxfId="10" totalsRowDxfId="9">
      <extLst>
        <ext xmlns:xlmsforms="http://schemas.microsoft.com/office/spreadsheetml/2023/msForms" uri="{FCC71383-01E1-4257-9335-427F07BE8D7F}">
          <xlmsforms:question id="r6748b337e47b43c18e9de6fbe23e0aa4"/>
        </ext>
      </extLst>
    </tableColumn>
    <tableColumn id="10" xr3:uid="{00000000-0010-0000-0000-00000A000000}" name="How likely are you to return to Roppongi? " totalsRowFunction="custom" dataDxfId="8">
      <totalsRowFormula>COUNTIF(OfficeForms.Table[How likely are you to return to Roppongi? ],"Very likely")</totalsRowFormula>
      <extLst>
        <ext xmlns:xlmsforms="http://schemas.microsoft.com/office/spreadsheetml/2023/msForms" uri="{FCC71383-01E1-4257-9335-427F07BE8D7F}">
          <xlmsforms:question id="r44f7dca85f004fd7aac48ee21efe339a"/>
        </ext>
      </extLst>
    </tableColumn>
    <tableColumn id="11" xr3:uid="{00000000-0010-0000-0000-00000B000000}" name="What is your favorite dish at Roppongi ? " dataDxfId="7" totalsRowDxfId="6">
      <extLst>
        <ext xmlns:xlmsforms="http://schemas.microsoft.com/office/spreadsheetml/2023/msForms" uri="{FCC71383-01E1-4257-9335-427F07BE8D7F}">
          <xlmsforms:question id="r2aa8dc39567d4bbeb93354b9296c38f3"/>
        </ext>
      </extLst>
    </tableColumn>
    <tableColumn id="12" xr3:uid="{00000000-0010-0000-0000-00000C000000}" name="Would you be interested in a loyalty rewards program ?" totalsRowFunction="custom" dataDxfId="5" totalsRowDxfId="4">
      <totalsRowFormula>COUNTIF(OfficeForms.Table[Would you be interested in a loyalty rewards program ?], "Yes")</totalsRowFormula>
      <extLst>
        <ext xmlns:xlmsforms="http://schemas.microsoft.com/office/spreadsheetml/2023/msForms" uri="{FCC71383-01E1-4257-9335-427F07BE8D7F}">
          <xlmsforms:question id="rb15dcbc4347a4f2c9fe2edf5accf6299"/>
        </ext>
      </extLst>
    </tableColumn>
    <tableColumn id="13" xr3:uid="{00000000-0010-0000-0000-00000D000000}" name="What types of rewards would you prefer? Choose all that apply : " dataDxfId="3" totalsRowDxfId="2">
      <extLst>
        <ext xmlns:xlmsforms="http://schemas.microsoft.com/office/spreadsheetml/2023/msForms" uri="{FCC71383-01E1-4257-9335-427F07BE8D7F}">
          <xlmsforms:question id="ra237624c73cf4a08b91b36801a8113ef"/>
        </ext>
      </extLst>
    </tableColumn>
    <tableColumn id="14" xr3:uid="{00000000-0010-0000-0000-00000E000000}" name="(Optional) Enter your email if you'd like to receive rewards or updates :" dataDxfId="1" totalsRowDxfId="0">
      <extLst>
        <ext xmlns:xlmsforms="http://schemas.microsoft.com/office/spreadsheetml/2023/msForms" uri="{FCC71383-01E1-4257-9335-427F07BE8D7F}">
          <xlmsforms:question id="rb689de13426c4be5ad8b2f26b5c6706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6txZYWaQRFtmJ-STjwFc1UQ0pCRldHS1RHSUlPMFVTNTlHMjFXUkQ1NC4u" isFormConnected="1" maxResponseId="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rcc2ff97cb60f4bfaad17f580d1bb4951</xlmsforms:syncedQuestionId>
        <xlmsforms:syncedQuestionId>r7c2e22be6e2f43faa6ee3e5048a126ac</xlmsforms:syncedQuestionId>
        <xlmsforms:syncedQuestionId>rb2ce13ba80e746fba45410a924b639a7</xlmsforms:syncedQuestionId>
        <xlmsforms:syncedQuestionId>r6748b337e47b43c18e9de6fbe23e0aa4</xlmsforms:syncedQuestionId>
        <xlmsforms:syncedQuestionId>r44f7dca85f004fd7aac48ee21efe339a</xlmsforms:syncedQuestionId>
        <xlmsforms:syncedQuestionId>r2aa8dc39567d4bbeb93354b9296c38f3</xlmsforms:syncedQuestionId>
        <xlmsforms:syncedQuestionId>rb15dcbc4347a4f2c9fe2edf5accf6299</xlmsforms:syncedQuestionId>
        <xlmsforms:syncedQuestionId>ra237624c73cf4a08b91b36801a8113ef</xlmsforms:syncedQuestionId>
        <xlmsforms:syncedQuestionId>rb689de13426c4be5ad8b2f26b5c6706a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A593-6F18-46C0-A31C-A02F76A520C9}">
  <dimension ref="A1:C13"/>
  <sheetViews>
    <sheetView workbookViewId="0">
      <selection activeCell="A14" sqref="A14"/>
    </sheetView>
  </sheetViews>
  <sheetFormatPr defaultRowHeight="14.4" x14ac:dyDescent="0.3"/>
  <cols>
    <col min="1" max="1" width="14.5546875" bestFit="1" customWidth="1"/>
    <col min="2" max="2" width="62" bestFit="1" customWidth="1"/>
    <col min="3" max="3" width="13.88671875" bestFit="1" customWidth="1"/>
  </cols>
  <sheetData>
    <row r="1" spans="1:3" x14ac:dyDescent="0.3">
      <c r="A1" s="5" t="s">
        <v>63</v>
      </c>
      <c r="B1" t="s">
        <v>58</v>
      </c>
    </row>
    <row r="3" spans="1:3" x14ac:dyDescent="0.3">
      <c r="A3" s="5" t="s">
        <v>55</v>
      </c>
      <c r="B3" t="s">
        <v>54</v>
      </c>
      <c r="C3" t="s">
        <v>57</v>
      </c>
    </row>
    <row r="4" spans="1:3" x14ac:dyDescent="0.3">
      <c r="A4" s="6" t="s">
        <v>59</v>
      </c>
      <c r="B4">
        <v>13</v>
      </c>
    </row>
    <row r="5" spans="1:3" x14ac:dyDescent="0.3">
      <c r="A5" s="6" t="s">
        <v>60</v>
      </c>
      <c r="B5">
        <v>9</v>
      </c>
    </row>
    <row r="6" spans="1:3" x14ac:dyDescent="0.3">
      <c r="A6" s="6" t="s">
        <v>61</v>
      </c>
      <c r="B6">
        <v>5</v>
      </c>
    </row>
    <row r="7" spans="1:3" x14ac:dyDescent="0.3">
      <c r="A7" s="6" t="s">
        <v>62</v>
      </c>
      <c r="B7">
        <v>5</v>
      </c>
    </row>
    <row r="8" spans="1:3" x14ac:dyDescent="0.3">
      <c r="A8" s="6" t="s">
        <v>56</v>
      </c>
      <c r="B8">
        <v>32</v>
      </c>
    </row>
    <row r="13" spans="1:3" x14ac:dyDescent="0.3">
      <c r="A13" t="s">
        <v>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I1" sqref="I1:I9"/>
    </sheetView>
  </sheetViews>
  <sheetFormatPr defaultRowHeight="14.4" x14ac:dyDescent="0.3"/>
  <cols>
    <col min="1" max="1" width="20" bestFit="1" customWidth="1"/>
    <col min="2" max="2" width="20" style="1" bestFit="1" customWidth="1"/>
    <col min="3" max="3" width="20" bestFit="1" customWidth="1"/>
    <col min="4" max="4" width="20" style="2" customWidth="1"/>
    <col min="5" max="15" width="20" bestFit="1" customWidth="1"/>
  </cols>
  <sheetData>
    <row r="1" spans="1:15" x14ac:dyDescent="0.3">
      <c r="A1" t="s">
        <v>0</v>
      </c>
      <c r="B1" s="1" t="s">
        <v>1</v>
      </c>
      <c r="C1" t="s">
        <v>2</v>
      </c>
      <c r="D1" s="2" t="s">
        <v>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s="1">
        <v>46120.541759259257</v>
      </c>
      <c r="C2" s="1">
        <v>46120.543136574073</v>
      </c>
      <c r="D2" s="2">
        <f t="shared" ref="D2:D9" si="0">C2-B2</f>
        <v>1.377314816636499E-3</v>
      </c>
      <c r="E2" t="s">
        <v>14</v>
      </c>
      <c r="G2">
        <v>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5" x14ac:dyDescent="0.3">
      <c r="A3">
        <v>2</v>
      </c>
      <c r="B3" s="1">
        <v>46120.566446759258</v>
      </c>
      <c r="C3" s="1">
        <v>46120.567719907405</v>
      </c>
      <c r="D3" s="2">
        <f t="shared" si="0"/>
        <v>1.2731481474475004E-3</v>
      </c>
      <c r="E3" t="s">
        <v>14</v>
      </c>
      <c r="G3">
        <v>5</v>
      </c>
      <c r="H3" t="s">
        <v>22</v>
      </c>
      <c r="I3" t="s">
        <v>16</v>
      </c>
      <c r="J3" t="s">
        <v>23</v>
      </c>
      <c r="K3" t="s">
        <v>24</v>
      </c>
      <c r="L3" t="s">
        <v>25</v>
      </c>
      <c r="M3" t="s">
        <v>16</v>
      </c>
      <c r="N3" t="s">
        <v>26</v>
      </c>
      <c r="O3" t="s">
        <v>27</v>
      </c>
    </row>
    <row r="4" spans="1:15" x14ac:dyDescent="0.3">
      <c r="A4">
        <v>3</v>
      </c>
      <c r="B4" s="1">
        <v>46120.612175925926</v>
      </c>
      <c r="C4" s="1">
        <v>46120.612650462965</v>
      </c>
      <c r="D4" s="2">
        <f t="shared" si="0"/>
        <v>4.7453703882638365E-4</v>
      </c>
      <c r="E4" t="s">
        <v>14</v>
      </c>
      <c r="G4">
        <v>1</v>
      </c>
      <c r="H4" t="s">
        <v>28</v>
      </c>
      <c r="I4" t="s">
        <v>20</v>
      </c>
      <c r="J4" t="s">
        <v>29</v>
      </c>
      <c r="K4" t="s">
        <v>30</v>
      </c>
      <c r="L4" t="s">
        <v>31</v>
      </c>
      <c r="M4" t="s">
        <v>20</v>
      </c>
      <c r="N4" t="s">
        <v>26</v>
      </c>
      <c r="O4" t="s">
        <v>32</v>
      </c>
    </row>
    <row r="5" spans="1:15" x14ac:dyDescent="0.3">
      <c r="A5">
        <v>4</v>
      </c>
      <c r="B5" s="1">
        <v>46120.619293981479</v>
      </c>
      <c r="C5" s="1">
        <v>46120.623032407406</v>
      </c>
      <c r="D5" s="2">
        <f t="shared" si="0"/>
        <v>3.7384259267128073E-3</v>
      </c>
      <c r="E5" t="s">
        <v>14</v>
      </c>
      <c r="G5">
        <v>4</v>
      </c>
      <c r="H5" t="s">
        <v>33</v>
      </c>
      <c r="I5" t="s">
        <v>16</v>
      </c>
      <c r="J5" t="s">
        <v>34</v>
      </c>
      <c r="K5" t="s">
        <v>24</v>
      </c>
      <c r="L5" t="s">
        <v>35</v>
      </c>
      <c r="M5" t="s">
        <v>16</v>
      </c>
      <c r="N5" t="s">
        <v>36</v>
      </c>
      <c r="O5" t="s">
        <v>37</v>
      </c>
    </row>
    <row r="6" spans="1:15" x14ac:dyDescent="0.3">
      <c r="A6">
        <v>5</v>
      </c>
      <c r="B6" s="1">
        <v>46120.911122685182</v>
      </c>
      <c r="C6" s="1">
        <v>46120.911539351851</v>
      </c>
      <c r="D6" s="2">
        <f t="shared" si="0"/>
        <v>4.1666666948003694E-4</v>
      </c>
      <c r="E6" t="s">
        <v>14</v>
      </c>
      <c r="G6">
        <v>5</v>
      </c>
      <c r="I6" t="s">
        <v>16</v>
      </c>
      <c r="J6" t="s">
        <v>38</v>
      </c>
      <c r="K6" t="s">
        <v>24</v>
      </c>
      <c r="L6" t="s">
        <v>39</v>
      </c>
      <c r="M6" t="s">
        <v>16</v>
      </c>
      <c r="N6" t="s">
        <v>40</v>
      </c>
    </row>
    <row r="7" spans="1:15" x14ac:dyDescent="0.3">
      <c r="A7">
        <v>6</v>
      </c>
      <c r="B7" s="1">
        <v>46121.481296296297</v>
      </c>
      <c r="C7" s="1">
        <v>46121.484293981484</v>
      </c>
      <c r="D7" s="2">
        <f t="shared" si="0"/>
        <v>2.9976851874380372E-3</v>
      </c>
      <c r="E7" t="s">
        <v>14</v>
      </c>
      <c r="G7">
        <v>5</v>
      </c>
      <c r="H7" t="s">
        <v>41</v>
      </c>
      <c r="I7" t="s">
        <v>16</v>
      </c>
      <c r="J7" t="s">
        <v>42</v>
      </c>
      <c r="K7" t="s">
        <v>24</v>
      </c>
      <c r="L7" t="s">
        <v>43</v>
      </c>
      <c r="M7" t="s">
        <v>16</v>
      </c>
      <c r="N7" t="s">
        <v>44</v>
      </c>
    </row>
    <row r="8" spans="1:15" x14ac:dyDescent="0.3">
      <c r="A8">
        <v>7</v>
      </c>
      <c r="B8" s="1">
        <v>46121.483275462961</v>
      </c>
      <c r="C8" s="1">
        <v>46121.484537037039</v>
      </c>
      <c r="D8" s="2">
        <f t="shared" si="0"/>
        <v>1.2615740779438056E-3</v>
      </c>
      <c r="E8" t="s">
        <v>14</v>
      </c>
      <c r="G8">
        <v>5</v>
      </c>
      <c r="H8" t="s">
        <v>45</v>
      </c>
      <c r="I8" t="s">
        <v>16</v>
      </c>
      <c r="J8" t="s">
        <v>46</v>
      </c>
      <c r="K8" t="s">
        <v>24</v>
      </c>
      <c r="L8" t="s">
        <v>47</v>
      </c>
      <c r="M8" t="s">
        <v>16</v>
      </c>
      <c r="N8" t="s">
        <v>48</v>
      </c>
    </row>
    <row r="9" spans="1:15" x14ac:dyDescent="0.3">
      <c r="A9">
        <v>8</v>
      </c>
      <c r="B9" s="1">
        <v>46121.491168981483</v>
      </c>
      <c r="C9" s="1">
        <v>46121.493009259262</v>
      </c>
      <c r="D9" s="2">
        <f t="shared" si="0"/>
        <v>1.8402777786832303E-3</v>
      </c>
      <c r="E9" t="s">
        <v>14</v>
      </c>
      <c r="G9">
        <v>3</v>
      </c>
      <c r="H9" t="s">
        <v>49</v>
      </c>
      <c r="I9" t="s">
        <v>16</v>
      </c>
      <c r="J9" t="s">
        <v>50</v>
      </c>
      <c r="K9" t="s">
        <v>18</v>
      </c>
      <c r="L9" t="s">
        <v>51</v>
      </c>
      <c r="M9" t="s">
        <v>16</v>
      </c>
      <c r="N9" t="s">
        <v>40</v>
      </c>
    </row>
    <row r="10" spans="1:15" ht="15" thickBot="1" x14ac:dyDescent="0.35">
      <c r="A10" t="s">
        <v>53</v>
      </c>
      <c r="C10" s="1"/>
      <c r="D10" s="2">
        <f>AVERAGE(D2:D9)</f>
        <v>1.6724537053960375E-3</v>
      </c>
      <c r="E10" s="3"/>
      <c r="F10" s="3"/>
      <c r="G10">
        <f>AVERAGE(G2:G9)</f>
        <v>4</v>
      </c>
      <c r="H10" s="3"/>
      <c r="I10" s="3"/>
      <c r="J10" s="3"/>
      <c r="K10">
        <f>COUNTIF(OfficeForms.Table[How likely are you to return to Roppongi? ],"Very likely")</f>
        <v>5</v>
      </c>
      <c r="L10" s="3"/>
      <c r="M10">
        <f>COUNTIF(OfficeForms.Table[Would you be interested in a loyalty rewards program ?], "Yes")</f>
        <v>6</v>
      </c>
      <c r="N10" s="3"/>
      <c r="O10" s="3"/>
    </row>
    <row r="11" spans="1:15" ht="15" thickTop="1" x14ac:dyDescent="0.3">
      <c r="K11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Survey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smaya melgara</cp:lastModifiedBy>
  <cp:revision/>
  <dcterms:created xsi:type="dcterms:W3CDTF">2026-04-10T15:39:58Z</dcterms:created>
  <dcterms:modified xsi:type="dcterms:W3CDTF">2026-04-13T03:29:55Z</dcterms:modified>
  <cp:category/>
  <cp:contentStatus/>
</cp:coreProperties>
</file>